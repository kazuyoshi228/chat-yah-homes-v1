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SoTマップ進捗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FEFEF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5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34" customWidth="1" min="3" max="3"/>
    <col width="30" customWidth="1" min="4" max="4"/>
    <col width="10" customWidth="1" min="5" max="5"/>
    <col width="10" customWidth="1" min="6" max="6"/>
    <col width="52" customWidth="1" min="7" max="7"/>
  </cols>
  <sheetData>
    <row r="1">
      <c r="A1" s="1" t="inlineStr">
        <is>
          <t>SSoTマップ 進捗管理表 — chat.yah.homes</t>
        </is>
      </c>
    </row>
    <row r="2">
      <c r="A2" s="2" t="inlineStr">
        <is>
          <t>編集するのは「状態」「担当」「メモ」列（薄黄色）のみ。他の列は情報の定義（変更時はチャット側へ連絡）。状態はプルダウン（未着手/作業中/完了）。</t>
        </is>
      </c>
    </row>
    <row r="4">
      <c r="A4" s="3" t="inlineStr">
        <is>
          <t>カテゴリ</t>
        </is>
      </c>
      <c r="B4" s="3" t="inlineStr">
        <is>
          <t>情報項目</t>
        </is>
      </c>
      <c r="C4" s="3" t="inlineStr">
        <is>
          <t>正本（編集場所）</t>
        </is>
      </c>
      <c r="D4" s="3" t="inlineStr">
        <is>
          <t>チャットへの反映経路</t>
        </is>
      </c>
      <c r="E4" s="3" t="inlineStr">
        <is>
          <t>状態</t>
        </is>
      </c>
      <c r="F4" s="3" t="inlineStr">
        <is>
          <t>担当</t>
        </is>
      </c>
      <c r="G4" s="3" t="inlineStr">
        <is>
          <t>メモ</t>
        </is>
      </c>
    </row>
    <row r="5">
      <c r="A5" s="4" t="inlineStr">
        <is>
          <t>How-toページ</t>
        </is>
      </c>
      <c r="B5" s="5" t="inlineStr">
        <is>
          <t>駐車場（写真・サイズW2,000×D5,000）</t>
        </is>
      </c>
      <c r="C5" s="5" t="inlineStr">
        <is>
          <t>yah.homes/how-to/kiyokawa</t>
        </is>
      </c>
      <c r="D5" s="5" t="inlineStr">
        <is>
          <t>毎日06:00 JST 自動同期</t>
        </is>
      </c>
      <c r="E5" s="6" t="inlineStr">
        <is>
          <t>完了</t>
        </is>
      </c>
      <c r="F5" s="6" t="inlineStr"/>
      <c r="G5" s="6" t="inlineStr">
        <is>
          <t>掲載・同期済み（チャット回答確認済み）</t>
        </is>
      </c>
    </row>
    <row r="6">
      <c r="A6" s="4" t="inlineStr">
        <is>
          <t>How-toページ</t>
        </is>
      </c>
      <c r="B6" s="5" t="inlineStr">
        <is>
          <t>チェックインの流れ（PIN案内・入口）</t>
        </is>
      </c>
      <c r="C6" s="5" t="inlineStr">
        <is>
          <t>yah.homes/how-to/kiyokawa</t>
        </is>
      </c>
      <c r="D6" s="5" t="inlineStr">
        <is>
          <t>毎日06:00 JST 自動同期</t>
        </is>
      </c>
      <c r="E6" s="6" t="inlineStr">
        <is>
          <t>完了</t>
        </is>
      </c>
      <c r="F6" s="6" t="inlineStr"/>
      <c r="G6" s="6" t="inlineStr">
        <is>
          <t>掲載・同期済み</t>
        </is>
      </c>
    </row>
    <row r="7">
      <c r="A7" s="4" t="inlineStr">
        <is>
          <t>How-toページ</t>
        </is>
      </c>
      <c r="B7" s="5" t="inlineStr">
        <is>
          <t>ゴミ出しの手順（分別・生ゴミ）</t>
        </is>
      </c>
      <c r="C7" s="5" t="inlineStr">
        <is>
          <t>yah.homes/how-to/kiyokawa</t>
        </is>
      </c>
      <c r="D7" s="5" t="inlineStr">
        <is>
          <t>毎日06:00 JST 自動同期</t>
        </is>
      </c>
      <c r="E7" s="6" t="inlineStr">
        <is>
          <t>未着手</t>
        </is>
      </c>
      <c r="F7" s="6" t="inlineStr"/>
      <c r="G7" s="6" t="inlineStr">
        <is>
          <t>暫定: ヒアリング回答をRAGに手書き済み（室内置き・外に出さない）</t>
        </is>
      </c>
    </row>
    <row r="8">
      <c r="A8" s="4" t="inlineStr">
        <is>
          <t>How-toページ</t>
        </is>
      </c>
      <c r="B8" s="5" t="inlineStr">
        <is>
          <t>ブレーカーの場所と復旧手順</t>
        </is>
      </c>
      <c r="C8" s="5" t="inlineStr">
        <is>
          <t>yah.homes/how-to/kiyokawa</t>
        </is>
      </c>
      <c r="D8" s="5" t="inlineStr">
        <is>
          <t>毎日06:00 JST 自動同期</t>
        </is>
      </c>
      <c r="E8" s="6" t="inlineStr">
        <is>
          <t>未着手</t>
        </is>
      </c>
      <c r="F8" s="6" t="inlineStr"/>
      <c r="G8" s="6" t="inlineStr">
        <is>
          <t>ヒアリングF未回答</t>
        </is>
      </c>
    </row>
    <row r="9">
      <c r="A9" s="4" t="inlineStr">
        <is>
          <t>How-toページ</t>
        </is>
      </c>
      <c r="B9" s="5" t="inlineStr">
        <is>
          <t>給湯器・お風呂の使い方</t>
        </is>
      </c>
      <c r="C9" s="5" t="inlineStr">
        <is>
          <t>yah.homes/how-to/kiyokawa</t>
        </is>
      </c>
      <c r="D9" s="5" t="inlineStr">
        <is>
          <t>毎日06:00 JST 自動同期</t>
        </is>
      </c>
      <c r="E9" s="6" t="inlineStr">
        <is>
          <t>未着手</t>
        </is>
      </c>
      <c r="F9" s="6" t="inlineStr"/>
      <c r="G9" s="6" t="inlineStr">
        <is>
          <t>ヒアリングC未回答（shower=0の意味も要確認）</t>
        </is>
      </c>
    </row>
    <row r="10">
      <c r="A10" s="4" t="inlineStr">
        <is>
          <t>How-toページ</t>
        </is>
      </c>
      <c r="B10" s="5" t="inlineStr">
        <is>
          <t>エアコンの使い方（リモコン対訳）</t>
        </is>
      </c>
      <c r="C10" s="5" t="inlineStr">
        <is>
          <t>yah.homes/how-to/kiyokawa</t>
        </is>
      </c>
      <c r="D10" s="5" t="inlineStr">
        <is>
          <t>毎日06:00 JST 自動同期</t>
        </is>
      </c>
      <c r="E10" s="6" t="inlineStr">
        <is>
          <t>作業中</t>
        </is>
      </c>
      <c r="F10" s="6" t="inlineStr"/>
      <c r="G10" s="6" t="inlineStr">
        <is>
          <t>暫定: 対訳をチャットRAGに手書き済み。How-to掲載でSSoT化完了</t>
        </is>
      </c>
    </row>
    <row r="11">
      <c r="A11" s="4" t="inlineStr">
        <is>
          <t>admin/properties</t>
        </is>
      </c>
      <c r="B11" s="5" t="inlineStr">
        <is>
          <t>chat用情報セクションの実装（本体開発）</t>
        </is>
      </c>
      <c r="C11" s="5" t="inlineStr">
        <is>
          <t>yah.homes/admin/properties</t>
        </is>
      </c>
      <c r="D11" s="5" t="inlineStr">
        <is>
          <t>実装後は自動でチャット注入</t>
        </is>
      </c>
      <c r="E11" s="6" t="inlineStr">
        <is>
          <t>未着手</t>
        </is>
      </c>
      <c r="F11" s="6" t="inlineStr"/>
      <c r="G11" s="6" t="inlineStr">
        <is>
          <t>仕様書: docs/spec_admin_properties_chat_fields.md</t>
        </is>
      </c>
    </row>
    <row r="12">
      <c r="A12" s="4" t="inlineStr">
        <is>
          <t>admin/properties</t>
        </is>
      </c>
      <c r="B12" s="5" t="inlineStr">
        <is>
          <t>窓口メール・電話（公式予約ゲスト向け）</t>
        </is>
      </c>
      <c r="C12" s="5" t="inlineStr">
        <is>
          <t>admin/properties chat用情報</t>
        </is>
      </c>
      <c r="D12" s="5" t="inlineStr">
        <is>
          <t>毎ターン自動注入（最大5分）</t>
        </is>
      </c>
      <c r="E12" s="6" t="inlineStr">
        <is>
          <t>未着手</t>
        </is>
      </c>
      <c r="F12" s="6" t="inlineStr"/>
      <c r="G12" s="6" t="inlineStr">
        <is>
          <t>ヒアリングA未回答</t>
        </is>
      </c>
    </row>
    <row r="13">
      <c r="A13" s="4" t="inlineStr">
        <is>
          <t>admin/properties</t>
        </is>
      </c>
      <c r="B13" s="5" t="inlineStr">
        <is>
          <t>Wi-Fiパスワード</t>
        </is>
      </c>
      <c r="C13" s="5" t="inlineStr">
        <is>
          <t>admin/properties chat用情報</t>
        </is>
      </c>
      <c r="D13" s="5" t="inlineStr">
        <is>
          <t>毎ターン自動注入（最大5分）</t>
        </is>
      </c>
      <c r="E13" s="6" t="inlineStr">
        <is>
          <t>作業中</t>
        </is>
      </c>
      <c r="F13" s="6" t="inlineStr"/>
      <c r="G13" s="6" t="inlineStr">
        <is>
          <t>暫定: chat側マスタに投入済み・チャット案内は稼働中。admin実装後に移行</t>
        </is>
      </c>
    </row>
    <row r="14">
      <c r="A14" s="4" t="inlineStr">
        <is>
          <t>admin/properties</t>
        </is>
      </c>
      <c r="B14" s="5" t="inlineStr">
        <is>
          <t>チャット専用メモ・案内禁止事項</t>
        </is>
      </c>
      <c r="C14" s="5" t="inlineStr">
        <is>
          <t>admin/properties chat用情報</t>
        </is>
      </c>
      <c r="D14" s="5" t="inlineStr">
        <is>
          <t>毎ターン自動注入（最大5分）</t>
        </is>
      </c>
      <c r="E14" s="6" t="inlineStr">
        <is>
          <t>未着手</t>
        </is>
      </c>
      <c r="F14" s="6" t="inlineStr"/>
      <c r="G14" s="6" t="inlineStr"/>
    </row>
    <row r="15">
      <c r="A15" s="4" t="inlineStr">
        <is>
          <t>admin/properties</t>
        </is>
      </c>
      <c r="B15" s="5" t="inlineStr">
        <is>
          <t>washer=1 への修正（データ訂正）</t>
        </is>
      </c>
      <c r="C15" s="5" t="inlineStr">
        <is>
          <t>admin/properties（既存フィールド）</t>
        </is>
      </c>
      <c r="D15" s="5" t="inlineStr">
        <is>
          <t>毎ターン自動注入（最大5分）</t>
        </is>
      </c>
      <c r="E15" s="6" t="inlineStr">
        <is>
          <t>未着手</t>
        </is>
      </c>
      <c r="F15" s="6" t="inlineStr"/>
      <c r="G15" s="6" t="inlineStr">
        <is>
          <t>物件ページ（ドラム式洗濯乾燥機）と矛盾中</t>
        </is>
      </c>
    </row>
    <row r="16">
      <c r="A16" s="4" t="inlineStr">
        <is>
          <t>Local Guide</t>
        </is>
      </c>
      <c r="B16" s="5" t="inlineStr">
        <is>
          <t>飲食・カフェ</t>
        </is>
      </c>
      <c r="C16" s="5" t="inlineStr">
        <is>
          <t>yah.homes/locals/</t>
        </is>
      </c>
      <c r="D16" s="5" t="inlineStr">
        <is>
          <t>毎日06:00 JST 自動同期＋URL誘導</t>
        </is>
      </c>
      <c r="E16" s="6" t="inlineStr">
        <is>
          <t>完了</t>
        </is>
      </c>
      <c r="F16" s="6" t="inlineStr"/>
      <c r="G16" s="6" t="inlineStr">
        <is>
          <t>掲載・同期済み</t>
        </is>
      </c>
    </row>
    <row r="17">
      <c r="A17" s="4" t="inlineStr">
        <is>
          <t>Local Guide</t>
        </is>
      </c>
      <c r="B17" s="5" t="inlineStr">
        <is>
          <t>コンビニ・スーパー</t>
        </is>
      </c>
      <c r="C17" s="5" t="inlineStr">
        <is>
          <t>yah.homes/locals/</t>
        </is>
      </c>
      <c r="D17" s="5" t="inlineStr">
        <is>
          <t>毎日06:00 JST 自動同期＋URL誘導</t>
        </is>
      </c>
      <c r="E17" s="6" t="inlineStr">
        <is>
          <t>未着手</t>
        </is>
      </c>
      <c r="F17" s="6" t="inlineStr"/>
      <c r="G17" s="6" t="inlineStr"/>
    </row>
    <row r="18">
      <c r="A18" s="4" t="inlineStr">
        <is>
          <t>Local Guide</t>
        </is>
      </c>
      <c r="B18" s="5" t="inlineStr">
        <is>
          <t>薬局・ドラッグストア</t>
        </is>
      </c>
      <c r="C18" s="5" t="inlineStr">
        <is>
          <t>yah.homes/locals/</t>
        </is>
      </c>
      <c r="D18" s="5" t="inlineStr">
        <is>
          <t>毎日06:00 JST 自動同期＋URL誘導</t>
        </is>
      </c>
      <c r="E18" s="6" t="inlineStr">
        <is>
          <t>未着手</t>
        </is>
      </c>
      <c r="F18" s="6" t="inlineStr"/>
      <c r="G18" s="6" t="inlineStr"/>
    </row>
    <row r="19">
      <c r="A19" s="4" t="inlineStr">
        <is>
          <t>Local Guide</t>
        </is>
      </c>
      <c r="B19" s="5" t="inlineStr">
        <is>
          <t>病院・夜間救急</t>
        </is>
      </c>
      <c r="C19" s="5" t="inlineStr">
        <is>
          <t>yah.homes/locals/</t>
        </is>
      </c>
      <c r="D19" s="5" t="inlineStr">
        <is>
          <t>毎日06:00 JST 自動同期＋URL誘導</t>
        </is>
      </c>
      <c r="E19" s="6" t="inlineStr">
        <is>
          <t>未着手</t>
        </is>
      </c>
      <c r="F19" s="6" t="inlineStr"/>
      <c r="G19" s="6" t="inlineStr">
        <is>
          <t>緊急文脈用に admin/properties 側にも1行推奨（nearbyHospital）</t>
        </is>
      </c>
    </row>
    <row r="20">
      <c r="A20" s="4" t="inlineStr">
        <is>
          <t>Local Guide</t>
        </is>
      </c>
      <c r="B20" s="5" t="inlineStr">
        <is>
          <t>コインランドリー</t>
        </is>
      </c>
      <c r="C20" s="5" t="inlineStr">
        <is>
          <t>yah.homes/locals/</t>
        </is>
      </c>
      <c r="D20" s="5" t="inlineStr">
        <is>
          <t>毎日06:00 JST 自動同期＋URL誘導</t>
        </is>
      </c>
      <c r="E20" s="6" t="inlineStr">
        <is>
          <t>未着手</t>
        </is>
      </c>
      <c r="F20" s="6" t="inlineStr"/>
      <c r="G20" s="6" t="inlineStr"/>
    </row>
    <row r="21">
      <c r="A21" s="4" t="inlineStr">
        <is>
          <t>規約ページ</t>
        </is>
      </c>
      <c r="B21" s="5" t="inlineStr">
        <is>
          <t>ハウスルール</t>
        </is>
      </c>
      <c r="C21" s="5" t="inlineStr">
        <is>
          <t>yah.homes/legal/terms</t>
        </is>
      </c>
      <c r="D21" s="5" t="inlineStr">
        <is>
          <t>毎日06:00 JST 自動同期</t>
        </is>
      </c>
      <c r="E21" s="6" t="inlineStr">
        <is>
          <t>完了</t>
        </is>
      </c>
      <c r="F21" s="6" t="inlineStr"/>
      <c r="G21" s="6" t="inlineStr">
        <is>
          <t>同期済み（チャット回答確認済み）</t>
        </is>
      </c>
    </row>
    <row r="22">
      <c r="A22" s="4" t="inlineStr">
        <is>
          <t>規約ページ</t>
        </is>
      </c>
      <c r="B22" s="5" t="inlineStr">
        <is>
          <t>キャンセルポリシー（公式/OTA区別）</t>
        </is>
      </c>
      <c r="C22" s="5" t="inlineStr">
        <is>
          <t>yah.homes/legal/terms</t>
        </is>
      </c>
      <c r="D22" s="5" t="inlineStr">
        <is>
          <t>毎日06:00 JST 自動同期</t>
        </is>
      </c>
      <c r="E22" s="6" t="inlineStr">
        <is>
          <t>完了</t>
        </is>
      </c>
      <c r="F22" s="6" t="inlineStr"/>
      <c r="G22" s="6" t="inlineStr">
        <is>
          <t>同期済み・OTA予約には各OTA規約と案内</t>
        </is>
      </c>
    </row>
    <row r="23">
      <c r="A23" s="4" t="inlineStr">
        <is>
          <t>チャット基盤</t>
        </is>
      </c>
      <c r="B23" s="5" t="inlineStr">
        <is>
          <t>サイト自動同期・factsライブ注入</t>
        </is>
      </c>
      <c r="C23" s="5" t="inlineStr">
        <is>
          <t>chat リポ（実装済み）</t>
        </is>
      </c>
      <c r="D23" s="5" t="inlineStr">
        <is>
          <t>—</t>
        </is>
      </c>
      <c r="E23" s="6" t="inlineStr">
        <is>
          <t>完了</t>
        </is>
      </c>
      <c r="F23" s="6" t="inlineStr"/>
      <c r="G23" s="6" t="inlineStr">
        <is>
          <t>terms/物件/how-to×2/locals を毎朝同期</t>
        </is>
      </c>
    </row>
    <row r="24">
      <c r="A24" s="4" t="inlineStr">
        <is>
          <t>チャット基盤</t>
        </is>
      </c>
      <c r="B24" s="5" t="inlineStr">
        <is>
          <t>QRコード納品（kiyokawa）</t>
        </is>
      </c>
      <c r="C24" s="5" t="inlineStr">
        <is>
          <t>chat側で作成</t>
        </is>
      </c>
      <c r="D24" s="5" t="inlineStr">
        <is>
          <t>—</t>
        </is>
      </c>
      <c r="E24" s="6" t="inlineStr">
        <is>
          <t>未着手</t>
        </is>
      </c>
      <c r="F24" s="6" t="inlineStr"/>
      <c r="G24" s="6" t="inlineStr">
        <is>
          <t>chat.yah.homes のSSL接続確認後に作成</t>
        </is>
      </c>
    </row>
    <row r="26">
      <c r="A26" s="7" t="inlineStr">
        <is>
          <t>集計</t>
        </is>
      </c>
    </row>
    <row r="27">
      <c r="A27" s="8" t="inlineStr">
        <is>
          <t>完了</t>
        </is>
      </c>
      <c r="B27" s="9">
        <f>COUNTIF(E5:E24,"完了")</f>
        <v/>
      </c>
    </row>
    <row r="28">
      <c r="A28" s="8" t="inlineStr">
        <is>
          <t>作業中</t>
        </is>
      </c>
      <c r="B28" s="9">
        <f>COUNTIF(E5:E24,"作業中")</f>
        <v/>
      </c>
    </row>
    <row r="29">
      <c r="A29" s="8" t="inlineStr">
        <is>
          <t>未着手</t>
        </is>
      </c>
      <c r="B29" s="9">
        <f>COUNTIF(E5:E24,"未着手")</f>
        <v/>
      </c>
    </row>
    <row r="30">
      <c r="A30" s="9" t="inlineStr">
        <is>
          <t>進捗率</t>
        </is>
      </c>
      <c r="B30" s="10">
        <f>COUNTIF(E5:E24,"完了")/COUNTA(E5:E24)</f>
        <v/>
      </c>
    </row>
  </sheetData>
  <dataValidations count="1">
    <dataValidation sqref="E5:E24" showDropDown="0" showInputMessage="0" showErrorMessage="0" allowBlank="1" type="list">
      <formula1>"未着手,作業中,完了"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2026-08-17T10:25:44Z</dcterms:created>
  <dcterms:modified xsi:type="dcterms:W3CDTF">2026-08-17T10:25:44Z</dcterms:modified>
</cp:coreProperties>
</file>